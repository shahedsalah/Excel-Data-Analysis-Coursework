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c\Desktop\me\excel course\"/>
    </mc:Choice>
  </mc:AlternateContent>
  <xr:revisionPtr revIDLastSave="0" documentId="13_ncr:1_{6EC5C0F0-45B7-46D9-8BFC-B4AC2659B0F2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7" i="2" l="1"/>
  <c r="N13" i="2"/>
  <c r="K13" i="4"/>
  <c r="P13" i="3"/>
  <c r="K13" i="1"/>
  <c r="K9" i="1"/>
  <c r="K16" i="2"/>
  <c r="F26" i="2" a="1"/>
  <c r="F26" i="2" s="1"/>
  <c r="K15" i="2"/>
  <c r="K14" i="2"/>
  <c r="J19" i="2" s="1"/>
  <c r="L45" i="4"/>
  <c r="L46" i="4" s="1"/>
  <c r="J14" i="4"/>
  <c r="H19" i="4" s="1"/>
  <c r="G9" i="4"/>
  <c r="L21" i="3"/>
  <c r="L22" i="3" s="1"/>
  <c r="E41" i="1"/>
  <c r="C46" i="1" s="1"/>
  <c r="B36" i="1"/>
  <c r="J14" i="1"/>
  <c r="H19" i="1" s="1"/>
  <c r="H20" i="1" s="1"/>
  <c r="H22" i="1" s="1"/>
  <c r="G9" i="1"/>
  <c r="L43" i="4"/>
  <c r="L19" i="3"/>
  <c r="L20" i="3"/>
  <c r="C47" i="1" l="1"/>
  <c r="C49" i="1" s="1"/>
  <c r="L44" i="4"/>
  <c r="J20" i="2"/>
  <c r="J22" i="2" s="1"/>
  <c r="H20" i="4"/>
  <c r="H2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<sst xmlns="http://schemas.openxmlformats.org/spreadsheetml/2006/main" count="194" uniqueCount="50">
  <si>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</si>
  <si>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</si>
  <si>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</si>
  <si>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</si>
  <si>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</si>
  <si>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</si>
  <si>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</si>
  <si>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</si>
  <si>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</si>
  <si>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</si>
  <si>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</si>
  <si>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</si>
  <si>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</si>
  <si>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</si>
  <si>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</si>
  <si>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</si>
  <si>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</si>
  <si>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</si>
  <si>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</si>
  <si>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</si>
  <si>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</si>
  <si>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</si>
  <si>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</si>
  <si>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</si>
  <si>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</si>
  <si>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</si>
  <si>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</si>
  <si>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</si>
  <si>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</si>
  <si>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</si>
  <si>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</si>
  <si>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</si>
  <si>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</si>
  <si>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</si>
  <si>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</si>
  <si>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</si>
  <si>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</si>
  <si>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</si>
  <si>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</si>
  <si>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</si>
  <si>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</si>
  <si>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</si>
  <si>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</si>
  <si>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</si>
  <si>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</si>
  <si>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</si>
  <si>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</si>
  <si>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</si>
  <si>
    <t xml:space="preserve">القيمة البي بنبحث عن قيم من خلالها لازم تكون اول عمود </t>
  </si>
  <si>
    <t xml:space="preserve">another sol for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</si>
</sst>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7" fillId="4" borderId="3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10" fontId="0" fillId="0" borderId="0" xfId="2" applyNumberFormat="1" applyFont="1"/>
    <xf numFmtId="0" fontId="9" fillId="4" borderId="0" xfId="0" applyFont="1" applyFill="1" applyBorder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zoomScale="78" workbookViewId="0">
      <selection activeCell="K10" sqref="K10"/>
    </sheetView>
  </sheetViews>
  <sheetFormatPr defaultColWidth="10.69921875" defaultRowHeight="15.6" x14ac:dyDescent="0.3"/>
  <cols>
    <col min="1" max="1" width="6.296875" customWidth="1"/>
    <col min="2" max="2" width="40.296875" bestFit="1" customWidth="1"/>
    <col min="3" max="3" width="19.5" bestFit="1" customWidth="1"/>
    <col min="4" max="4" width="20" bestFit="1" customWidth="1"/>
    <col min="5" max="5" width="29.59765625" bestFit="1" customWidth="1"/>
    <col min="6" max="6" width="8.796875" customWidth="1"/>
    <col min="7" max="7" width="20.69921875" customWidth="1"/>
    <col min="8" max="8" width="16.19921875" bestFit="1" customWidth="1"/>
    <col min="9" max="9" width="16.5" customWidth="1"/>
    <col min="10" max="10" width="20.69921875" customWidth="1"/>
    <col min="11" max="11" width="24" customWidth="1"/>
    <col min="12" max="12" width="22.19921875" bestFit="1" customWidth="1"/>
    <col min="13" max="13" width="15.5" bestFit="1" customWidth="1"/>
  </cols>
  <sheetData>
    <row r="1" spans="1:15" ht="28.8" x14ac:dyDescent="0.55000000000000004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3"/>
      <c r="L1" s="3"/>
      <c r="M1" s="3"/>
      <c r="N1" s="3"/>
      <c r="O1" s="3"/>
    </row>
    <row r="3" spans="1:15" ht="21" x14ac:dyDescent="0.4">
      <c r="B3" s="64" t="s">
        <v>30</v>
      </c>
      <c r="C3" s="64"/>
      <c r="D3" s="64"/>
      <c r="E3" s="64"/>
      <c r="G3" s="64" t="s">
        <v>45</v>
      </c>
      <c r="H3" s="64"/>
      <c r="I3" s="64"/>
      <c r="J3" s="64"/>
    </row>
    <row r="4" spans="1:15" ht="18.600000000000001" thickBot="1" x14ac:dyDescent="0.4">
      <c r="B4" s="17"/>
      <c r="C4" s="17"/>
      <c r="D4" s="17"/>
      <c r="E4" s="17"/>
    </row>
    <row r="5" spans="1:15" ht="21" x14ac:dyDescent="0.4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8" x14ac:dyDescent="0.35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8" x14ac:dyDescent="0.35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4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8" x14ac:dyDescent="0.35">
      <c r="B9" s="18" t="s">
        <v>25</v>
      </c>
      <c r="C9" s="20">
        <v>6</v>
      </c>
      <c r="D9" s="46">
        <v>33</v>
      </c>
      <c r="E9" s="22">
        <v>42780</v>
      </c>
      <c r="G9" s="59">
        <f>VLOOKUP(G6, B5:E13, 4,FALSE )</f>
        <v>42765</v>
      </c>
      <c r="H9" s="32"/>
      <c r="I9" s="32"/>
      <c r="J9" s="33"/>
      <c r="K9">
        <f>VLOOKUP(G6, B5:E13, 3,FALSE)</f>
        <v>506</v>
      </c>
    </row>
    <row r="10" spans="1:15" ht="18" x14ac:dyDescent="0.35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" x14ac:dyDescent="0.35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6" thickBot="1" x14ac:dyDescent="0.45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18.600000000000001" thickBot="1" x14ac:dyDescent="0.4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  <c r="K13">
        <f>VLOOKUP(G6,B5:E13,2,FALSE)</f>
        <v>20</v>
      </c>
    </row>
    <row r="14" spans="1:15" x14ac:dyDescent="0.3">
      <c r="G14" s="48" t="s">
        <v>14</v>
      </c>
      <c r="H14" s="49" t="s">
        <v>6</v>
      </c>
      <c r="I14" s="50">
        <v>18</v>
      </c>
      <c r="J14" s="60">
        <f>VLOOKUP(G6, B5:E13, 2,FALSE)</f>
        <v>20</v>
      </c>
    </row>
    <row r="15" spans="1:15" x14ac:dyDescent="0.3">
      <c r="G15" s="40"/>
      <c r="H15" s="39"/>
      <c r="I15" s="43"/>
      <c r="J15" s="41"/>
    </row>
    <row r="16" spans="1:15" x14ac:dyDescent="0.3">
      <c r="G16" s="40"/>
      <c r="H16" s="39"/>
      <c r="I16" s="43"/>
      <c r="J16" s="41"/>
    </row>
    <row r="17" spans="2:10" x14ac:dyDescent="0.3">
      <c r="G17" s="31"/>
      <c r="H17" s="32"/>
      <c r="I17" s="44"/>
      <c r="J17" s="33"/>
    </row>
    <row r="18" spans="2:10" ht="21.6" thickBot="1" x14ac:dyDescent="0.45">
      <c r="G18" s="38" t="s">
        <v>41</v>
      </c>
      <c r="H18" s="32"/>
      <c r="I18" s="44"/>
      <c r="J18" s="33"/>
    </row>
    <row r="19" spans="2:10" ht="21" x14ac:dyDescent="0.4">
      <c r="B19" s="25" t="s">
        <v>21</v>
      </c>
      <c r="C19" s="45" t="s">
        <v>18</v>
      </c>
      <c r="D19" s="26" t="s">
        <v>20</v>
      </c>
      <c r="E19" s="24" t="s">
        <v>27</v>
      </c>
      <c r="G19" s="31" t="s">
        <v>42</v>
      </c>
      <c r="H19" s="44">
        <f>I14*J14</f>
        <v>360</v>
      </c>
      <c r="I19" s="32"/>
      <c r="J19" s="33"/>
    </row>
    <row r="20" spans="2:10" ht="13.95" customHeight="1" x14ac:dyDescent="0.35">
      <c r="B20" s="20">
        <v>10</v>
      </c>
      <c r="C20" s="46">
        <v>20</v>
      </c>
      <c r="D20" s="22">
        <v>42750</v>
      </c>
      <c r="E20" s="18" t="s">
        <v>22</v>
      </c>
      <c r="G20" s="31" t="s">
        <v>43</v>
      </c>
      <c r="H20" s="44">
        <f>H19*0.07</f>
        <v>25.200000000000003</v>
      </c>
      <c r="I20" s="32"/>
      <c r="J20" s="33"/>
    </row>
    <row r="21" spans="2:10" ht="18" x14ac:dyDescent="0.35">
      <c r="B21" s="20">
        <v>12</v>
      </c>
      <c r="C21" s="46">
        <v>52</v>
      </c>
      <c r="D21" s="22">
        <v>42734</v>
      </c>
      <c r="E21" s="18" t="s">
        <v>23</v>
      </c>
      <c r="G21" s="31" t="s">
        <v>44</v>
      </c>
      <c r="H21" s="54">
        <v>0.3</v>
      </c>
      <c r="I21" s="32"/>
      <c r="J21" s="33"/>
    </row>
    <row r="22" spans="2:10" ht="18" x14ac:dyDescent="0.35">
      <c r="B22" s="20">
        <v>4</v>
      </c>
      <c r="C22" s="46">
        <v>12</v>
      </c>
      <c r="D22" s="22">
        <v>42755</v>
      </c>
      <c r="E22" s="18" t="s">
        <v>24</v>
      </c>
      <c r="G22" s="56" t="s">
        <v>41</v>
      </c>
      <c r="H22" s="55">
        <f>H19-(H19*H21)+H20</f>
        <v>277.2</v>
      </c>
      <c r="I22" s="32"/>
      <c r="J22" s="33"/>
    </row>
    <row r="23" spans="2:10" ht="18.600000000000001" thickBot="1" x14ac:dyDescent="0.4">
      <c r="B23" s="20">
        <v>6</v>
      </c>
      <c r="C23" s="46">
        <v>33</v>
      </c>
      <c r="D23" s="22">
        <v>42780</v>
      </c>
      <c r="E23" s="18" t="s">
        <v>25</v>
      </c>
      <c r="G23" s="34"/>
      <c r="H23" s="35"/>
      <c r="I23" s="35"/>
      <c r="J23" s="36"/>
    </row>
    <row r="24" spans="2:10" ht="18" x14ac:dyDescent="0.35">
      <c r="B24" s="20">
        <v>8</v>
      </c>
      <c r="C24" s="46">
        <v>110</v>
      </c>
      <c r="D24" s="22">
        <v>42768</v>
      </c>
      <c r="E24" s="18" t="s">
        <v>26</v>
      </c>
    </row>
    <row r="25" spans="2:10" ht="18" x14ac:dyDescent="0.35">
      <c r="B25" s="20">
        <v>100</v>
      </c>
      <c r="C25" s="46">
        <v>340</v>
      </c>
      <c r="D25" s="22">
        <v>42744</v>
      </c>
      <c r="E25" s="18" t="s">
        <v>28</v>
      </c>
    </row>
    <row r="26" spans="2:10" ht="18" x14ac:dyDescent="0.35">
      <c r="B26" s="20">
        <v>20</v>
      </c>
      <c r="C26" s="46">
        <v>506</v>
      </c>
      <c r="D26" s="22">
        <v>42765</v>
      </c>
      <c r="E26" s="18" t="s">
        <v>46</v>
      </c>
    </row>
    <row r="27" spans="2:10" ht="18.600000000000001" thickBot="1" x14ac:dyDescent="0.4">
      <c r="B27" s="21">
        <v>40</v>
      </c>
      <c r="C27" s="47">
        <v>418</v>
      </c>
      <c r="D27" s="23">
        <v>42745</v>
      </c>
      <c r="E27" s="19" t="s">
        <v>29</v>
      </c>
    </row>
    <row r="30" spans="2:10" x14ac:dyDescent="0.3">
      <c r="B30" t="s">
        <v>48</v>
      </c>
    </row>
    <row r="31" spans="2:10" ht="16.2" thickBot="1" x14ac:dyDescent="0.35"/>
    <row r="32" spans="2:10" ht="21" x14ac:dyDescent="0.4">
      <c r="B32" s="28" t="s">
        <v>32</v>
      </c>
      <c r="C32" s="29"/>
      <c r="D32" s="29"/>
      <c r="E32" s="30" t="s">
        <v>33</v>
      </c>
    </row>
    <row r="33" spans="2:5" ht="18" x14ac:dyDescent="0.35">
      <c r="B33" s="37" t="s">
        <v>46</v>
      </c>
      <c r="C33" s="32"/>
      <c r="D33" s="32"/>
      <c r="E33" s="42" t="s">
        <v>34</v>
      </c>
    </row>
    <row r="34" spans="2:5" x14ac:dyDescent="0.3">
      <c r="B34" s="31"/>
      <c r="C34" s="32"/>
      <c r="D34" s="32"/>
      <c r="E34" s="33"/>
    </row>
    <row r="35" spans="2:5" ht="21" x14ac:dyDescent="0.4">
      <c r="B35" s="38" t="s">
        <v>35</v>
      </c>
      <c r="C35" s="32"/>
      <c r="D35" s="32"/>
      <c r="E35" s="33"/>
    </row>
    <row r="36" spans="2:5" x14ac:dyDescent="0.3">
      <c r="B36" s="59" t="e">
        <f>VLOOKUP(B33, B19:E27, 3,FALSE  )</f>
        <v>#N/A</v>
      </c>
      <c r="C36" s="32"/>
      <c r="D36" s="32"/>
      <c r="E36" s="33"/>
    </row>
    <row r="37" spans="2:5" x14ac:dyDescent="0.3">
      <c r="B37" s="31"/>
      <c r="C37" s="32"/>
      <c r="D37" s="32"/>
      <c r="E37" s="33"/>
    </row>
    <row r="38" spans="2:5" x14ac:dyDescent="0.3">
      <c r="B38" s="31"/>
      <c r="C38" s="32"/>
      <c r="D38" s="32"/>
      <c r="E38" s="33"/>
    </row>
    <row r="39" spans="2:5" ht="21.6" thickBot="1" x14ac:dyDescent="0.45">
      <c r="B39" s="38" t="s">
        <v>36</v>
      </c>
      <c r="C39" s="32"/>
      <c r="D39" s="32"/>
      <c r="E39" s="33"/>
    </row>
    <row r="40" spans="2:5" ht="16.2" thickBot="1" x14ac:dyDescent="0.35">
      <c r="B40" s="51" t="s">
        <v>37</v>
      </c>
      <c r="C40" s="52" t="s">
        <v>38</v>
      </c>
      <c r="D40" s="52" t="s">
        <v>39</v>
      </c>
      <c r="E40" s="53" t="s">
        <v>40</v>
      </c>
    </row>
    <row r="41" spans="2:5" x14ac:dyDescent="0.3">
      <c r="B41" s="48" t="s">
        <v>14</v>
      </c>
      <c r="C41" s="49" t="s">
        <v>6</v>
      </c>
      <c r="D41" s="50">
        <v>18</v>
      </c>
      <c r="E41" s="60" t="e">
        <f>VLOOKUP(B33, B19:E27, 2, FALSE)</f>
        <v>#N/A</v>
      </c>
    </row>
    <row r="42" spans="2:5" x14ac:dyDescent="0.3">
      <c r="B42" s="40"/>
      <c r="C42" s="39"/>
      <c r="D42" s="43"/>
      <c r="E42" s="41"/>
    </row>
    <row r="43" spans="2:5" x14ac:dyDescent="0.3">
      <c r="B43" s="40"/>
      <c r="C43" s="39"/>
      <c r="D43" s="43"/>
      <c r="E43" s="41"/>
    </row>
    <row r="44" spans="2:5" x14ac:dyDescent="0.3">
      <c r="B44" s="31"/>
      <c r="C44" s="32"/>
      <c r="D44" s="44"/>
      <c r="E44" s="33"/>
    </row>
    <row r="45" spans="2:5" ht="21" x14ac:dyDescent="0.4">
      <c r="B45" s="38" t="s">
        <v>41</v>
      </c>
      <c r="C45" s="32"/>
      <c r="D45" s="44"/>
      <c r="E45" s="33"/>
    </row>
    <row r="46" spans="2:5" x14ac:dyDescent="0.3">
      <c r="B46" s="31" t="s">
        <v>42</v>
      </c>
      <c r="C46" s="44" t="e">
        <f>D41*E41</f>
        <v>#N/A</v>
      </c>
      <c r="D46" s="32"/>
      <c r="E46" s="33"/>
    </row>
    <row r="47" spans="2:5" x14ac:dyDescent="0.3">
      <c r="B47" s="31" t="s">
        <v>43</v>
      </c>
      <c r="C47" s="44" t="e">
        <f>C46*0.07</f>
        <v>#N/A</v>
      </c>
      <c r="D47" s="32"/>
      <c r="E47" s="33"/>
    </row>
    <row r="48" spans="2:5" x14ac:dyDescent="0.3">
      <c r="B48" s="31" t="s">
        <v>44</v>
      </c>
      <c r="C48" s="54">
        <v>0.3</v>
      </c>
      <c r="D48" s="32"/>
      <c r="E48" s="33"/>
    </row>
    <row r="49" spans="2:5" x14ac:dyDescent="0.3">
      <c r="B49" s="56" t="s">
        <v>41</v>
      </c>
      <c r="C49" s="55" t="e">
        <f>C46-(C46*C48)+C47</f>
        <v>#N/A</v>
      </c>
      <c r="D49" s="32"/>
      <c r="E49" s="33"/>
    </row>
    <row r="50" spans="2:5" ht="16.2" thickBot="1" x14ac:dyDescent="0.35">
      <c r="B50" s="34"/>
      <c r="C50" s="35"/>
      <c r="D50" s="35"/>
      <c r="E50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 B33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6" zoomScale="75" workbookViewId="0">
      <selection activeCell="P22" sqref="P22"/>
    </sheetView>
  </sheetViews>
  <sheetFormatPr defaultColWidth="10.69921875" defaultRowHeight="15.6" x14ac:dyDescent="0.3"/>
  <cols>
    <col min="1" max="1" width="4" customWidth="1"/>
    <col min="2" max="2" width="20.796875" bestFit="1" customWidth="1"/>
    <col min="10" max="10" width="6" customWidth="1"/>
    <col min="11" max="11" width="23.69921875" customWidth="1"/>
    <col min="12" max="12" width="18.296875" customWidth="1"/>
    <col min="13" max="13" width="10.69921875" customWidth="1"/>
    <col min="14" max="14" width="20.796875" customWidth="1"/>
  </cols>
  <sheetData>
    <row r="1" spans="1:16" ht="28.8" x14ac:dyDescent="0.55000000000000004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3" spans="1:16" ht="21" x14ac:dyDescent="0.4">
      <c r="C3" s="64" t="s">
        <v>18</v>
      </c>
      <c r="D3" s="64"/>
      <c r="E3" s="64"/>
      <c r="F3" s="64"/>
      <c r="G3" s="64"/>
      <c r="H3" s="64"/>
      <c r="K3" s="64" t="s">
        <v>45</v>
      </c>
      <c r="L3" s="64"/>
      <c r="M3" s="64"/>
      <c r="N3" s="64"/>
    </row>
    <row r="4" spans="1:16" ht="18.600000000000001" thickBot="1" x14ac:dyDescent="0.4">
      <c r="B4" s="1"/>
      <c r="C4" s="1"/>
      <c r="D4" s="1"/>
      <c r="E4" s="1"/>
      <c r="F4" s="1"/>
      <c r="G4" s="1"/>
      <c r="H4" s="1"/>
      <c r="I4" s="1"/>
      <c r="J4" s="1"/>
    </row>
    <row r="5" spans="1:16" ht="21" x14ac:dyDescent="0.4">
      <c r="B5" s="67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6" ht="18" x14ac:dyDescent="0.35">
      <c r="B6" s="68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6" ht="18" x14ac:dyDescent="0.35">
      <c r="B7" s="69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6" ht="31.95" customHeight="1" thickBot="1" x14ac:dyDescent="0.45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6" x14ac:dyDescent="0.3">
      <c r="K9" s="57">
        <v>42765</v>
      </c>
      <c r="L9" s="32"/>
      <c r="M9" s="32"/>
      <c r="N9" s="33"/>
    </row>
    <row r="10" spans="1:16" x14ac:dyDescent="0.3">
      <c r="K10" s="31"/>
      <c r="L10" s="32"/>
      <c r="M10" s="32"/>
      <c r="N10" s="33"/>
    </row>
    <row r="11" spans="1:16" x14ac:dyDescent="0.3">
      <c r="K11" s="31"/>
      <c r="L11" s="32"/>
      <c r="M11" s="32"/>
      <c r="N11" s="33"/>
    </row>
    <row r="12" spans="1:16" ht="21.6" thickBot="1" x14ac:dyDescent="0.45">
      <c r="K12" s="38" t="s">
        <v>36</v>
      </c>
      <c r="L12" s="32"/>
      <c r="M12" s="32"/>
      <c r="N12" s="33"/>
    </row>
    <row r="13" spans="1:16" ht="16.2" thickBot="1" x14ac:dyDescent="0.35">
      <c r="K13" s="51" t="s">
        <v>37</v>
      </c>
      <c r="L13" s="52" t="s">
        <v>38</v>
      </c>
      <c r="M13" s="52" t="s">
        <v>39</v>
      </c>
      <c r="N13" s="53" t="s">
        <v>40</v>
      </c>
      <c r="P13" s="70">
        <f>HLOOKUP(VLOOKUP(K6,VLOOKUP!B5:E13,3,FALSE),HLOOKUP!B5:I8,4)</f>
        <v>0.3</v>
      </c>
    </row>
    <row r="14" spans="1:16" x14ac:dyDescent="0.3">
      <c r="K14" s="48" t="s">
        <v>14</v>
      </c>
      <c r="L14" s="49" t="s">
        <v>6</v>
      </c>
      <c r="M14" s="50">
        <v>18</v>
      </c>
      <c r="N14" s="58">
        <v>20</v>
      </c>
    </row>
    <row r="15" spans="1:16" x14ac:dyDescent="0.3">
      <c r="K15" s="40"/>
      <c r="L15" s="39"/>
      <c r="M15" s="43"/>
      <c r="N15" s="41"/>
    </row>
    <row r="16" spans="1:16" x14ac:dyDescent="0.3">
      <c r="K16" s="40"/>
      <c r="L16" s="39"/>
      <c r="M16" s="43"/>
      <c r="N16" s="41"/>
    </row>
    <row r="17" spans="11:14" x14ac:dyDescent="0.3">
      <c r="K17" s="31"/>
      <c r="L17" s="32"/>
      <c r="M17" s="44"/>
      <c r="N17" s="33"/>
    </row>
    <row r="18" spans="11:14" ht="21" x14ac:dyDescent="0.4">
      <c r="K18" s="38" t="s">
        <v>41</v>
      </c>
      <c r="L18" s="32"/>
      <c r="M18" s="44"/>
      <c r="N18" s="33"/>
    </row>
    <row r="19" spans="11:14" x14ac:dyDescent="0.3">
      <c r="K19" s="31" t="s">
        <v>42</v>
      </c>
      <c r="L19" s="44">
        <f>M14*N14</f>
        <v>360</v>
      </c>
      <c r="M19" s="32"/>
      <c r="N19" s="33"/>
    </row>
    <row r="20" spans="11:14" x14ac:dyDescent="0.3">
      <c r="K20" s="31" t="s">
        <v>43</v>
      </c>
      <c r="L20" s="44">
        <f>L19*0.07</f>
        <v>25.200000000000003</v>
      </c>
      <c r="M20" s="32"/>
      <c r="N20" s="33"/>
    </row>
    <row r="21" spans="11:14" x14ac:dyDescent="0.3">
      <c r="K21" s="31" t="s">
        <v>44</v>
      </c>
      <c r="L21" s="61">
        <f>HLOOKUP(VLOOKUP(K6,VLOOKUP!B5:E13,3,FALSE),HLOOKUP!B5:I8,4)</f>
        <v>0.3</v>
      </c>
      <c r="M21" s="32"/>
      <c r="N21" s="33"/>
    </row>
    <row r="22" spans="11:14" x14ac:dyDescent="0.3">
      <c r="K22" s="56" t="s">
        <v>41</v>
      </c>
      <c r="L22" s="55">
        <f>L19-(L19*L21)+L20</f>
        <v>277.2</v>
      </c>
      <c r="M22" s="32"/>
      <c r="N22" s="33"/>
    </row>
    <row r="23" spans="11:14" ht="16.2" thickBot="1" x14ac:dyDescent="0.35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opLeftCell="A3" zoomScale="72" workbookViewId="0">
      <selection activeCell="K14" sqref="K14"/>
    </sheetView>
  </sheetViews>
  <sheetFormatPr defaultColWidth="10.69921875" defaultRowHeight="15.6" x14ac:dyDescent="0.3"/>
  <cols>
    <col min="1" max="1" width="6.296875" customWidth="1"/>
    <col min="2" max="2" width="16.796875" customWidth="1"/>
    <col min="3" max="3" width="19.5" bestFit="1" customWidth="1"/>
    <col min="4" max="4" width="20" bestFit="1" customWidth="1"/>
    <col min="5" max="5" width="30.69921875" customWidth="1"/>
    <col min="6" max="6" width="8.796875" customWidth="1"/>
    <col min="7" max="7" width="20.69921875" customWidth="1"/>
    <col min="8" max="8" width="16.19921875" bestFit="1" customWidth="1"/>
    <col min="9" max="9" width="16.5" customWidth="1"/>
    <col min="10" max="10" width="20.69921875" customWidth="1"/>
    <col min="11" max="11" width="24" customWidth="1"/>
    <col min="12" max="12" width="22.19921875" bestFit="1" customWidth="1"/>
    <col min="13" max="13" width="15.5" bestFit="1" customWidth="1"/>
  </cols>
  <sheetData>
    <row r="1" spans="1:15" ht="28.8" x14ac:dyDescent="0.55000000000000004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3"/>
      <c r="L1" s="3"/>
      <c r="M1" s="3"/>
      <c r="N1" s="3"/>
      <c r="O1" s="3"/>
    </row>
    <row r="3" spans="1:15" ht="21" x14ac:dyDescent="0.4">
      <c r="B3" s="64" t="s">
        <v>30</v>
      </c>
      <c r="C3" s="64"/>
      <c r="D3" s="64"/>
      <c r="E3" s="64"/>
      <c r="G3" s="64" t="s">
        <v>45</v>
      </c>
      <c r="H3" s="64"/>
      <c r="I3" s="64"/>
      <c r="J3" s="64"/>
    </row>
    <row r="4" spans="1:15" ht="18.600000000000001" thickBot="1" x14ac:dyDescent="0.4">
      <c r="B4" s="17"/>
      <c r="C4" s="17"/>
      <c r="D4" s="17"/>
      <c r="E4" s="17"/>
    </row>
    <row r="5" spans="1:15" ht="21" x14ac:dyDescent="0.4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8" x14ac:dyDescent="0.35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8" x14ac:dyDescent="0.35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4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8" x14ac:dyDescent="0.35">
      <c r="B9" s="20">
        <v>6</v>
      </c>
      <c r="C9" s="46">
        <v>33</v>
      </c>
      <c r="D9" s="22">
        <v>42780</v>
      </c>
      <c r="E9" s="18" t="s">
        <v>25</v>
      </c>
      <c r="G9" s="59">
        <f>_xlfn.XLOOKUP(G6, E5:E13, D5:D13)</f>
        <v>42765</v>
      </c>
      <c r="H9" s="32"/>
      <c r="I9" s="32"/>
      <c r="J9" s="33"/>
    </row>
    <row r="10" spans="1:15" ht="18" x14ac:dyDescent="0.35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8" x14ac:dyDescent="0.35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1.6" thickBot="1" x14ac:dyDescent="0.45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18.600000000000001" thickBot="1" x14ac:dyDescent="0.4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  <c r="K13">
        <f>_xlfn.XLOOKUP(G6,E5:E13,B5:B13,"notfound",0,1 )</f>
        <v>20</v>
      </c>
    </row>
    <row r="14" spans="1:15" x14ac:dyDescent="0.3">
      <c r="G14" s="48" t="s">
        <v>14</v>
      </c>
      <c r="H14" s="49" t="s">
        <v>6</v>
      </c>
      <c r="I14" s="50">
        <v>18</v>
      </c>
      <c r="J14" s="60">
        <f>_xlfn.XLOOKUP(G6, E5:E13, B5:B13)</f>
        <v>20</v>
      </c>
    </row>
    <row r="15" spans="1:15" x14ac:dyDescent="0.3">
      <c r="G15" s="40"/>
      <c r="H15" s="39"/>
      <c r="I15" s="43"/>
      <c r="J15" s="41"/>
    </row>
    <row r="16" spans="1:15" x14ac:dyDescent="0.3">
      <c r="G16" s="40"/>
      <c r="H16" s="39"/>
      <c r="I16" s="43"/>
      <c r="J16" s="41"/>
    </row>
    <row r="17" spans="2:14" x14ac:dyDescent="0.3">
      <c r="G17" s="31"/>
      <c r="H17" s="32"/>
      <c r="I17" s="44"/>
      <c r="J17" s="33"/>
    </row>
    <row r="18" spans="2:14" ht="21" x14ac:dyDescent="0.4">
      <c r="G18" s="38" t="s">
        <v>41</v>
      </c>
      <c r="H18" s="32"/>
      <c r="I18" s="44"/>
      <c r="J18" s="33"/>
    </row>
    <row r="19" spans="2:14" x14ac:dyDescent="0.3">
      <c r="G19" s="31" t="s">
        <v>42</v>
      </c>
      <c r="H19" s="44">
        <f>I14*J14</f>
        <v>360</v>
      </c>
      <c r="I19" s="32"/>
      <c r="J19" s="33"/>
    </row>
    <row r="20" spans="2:14" ht="13.95" customHeight="1" x14ac:dyDescent="0.3">
      <c r="G20" s="31" t="s">
        <v>43</v>
      </c>
      <c r="H20" s="44">
        <f>H19*0.07</f>
        <v>25.200000000000003</v>
      </c>
      <c r="I20" s="32"/>
      <c r="J20" s="33"/>
    </row>
    <row r="21" spans="2:14" x14ac:dyDescent="0.3">
      <c r="G21" s="31" t="s">
        <v>44</v>
      </c>
      <c r="H21" s="54">
        <v>0.3</v>
      </c>
      <c r="I21" s="32"/>
      <c r="J21" s="33"/>
    </row>
    <row r="22" spans="2:14" x14ac:dyDescent="0.3">
      <c r="G22" s="56" t="s">
        <v>41</v>
      </c>
      <c r="H22" s="55">
        <f>H19-(H19*H21)+H20</f>
        <v>277.2</v>
      </c>
      <c r="I22" s="32"/>
      <c r="J22" s="33"/>
    </row>
    <row r="23" spans="2:14" ht="16.2" thickBot="1" x14ac:dyDescent="0.35">
      <c r="G23" s="34"/>
      <c r="H23" s="35"/>
      <c r="I23" s="35"/>
      <c r="J23" s="36"/>
    </row>
    <row r="27" spans="2:14" ht="21" x14ac:dyDescent="0.4">
      <c r="C27" s="64" t="s">
        <v>18</v>
      </c>
      <c r="D27" s="64"/>
      <c r="E27" s="64"/>
      <c r="F27" s="64"/>
      <c r="G27" s="64"/>
      <c r="H27" s="64"/>
      <c r="K27" s="64" t="s">
        <v>45</v>
      </c>
      <c r="L27" s="64"/>
      <c r="M27" s="64"/>
      <c r="N27" s="64"/>
    </row>
    <row r="28" spans="2:14" ht="18.600000000000001" thickBot="1" x14ac:dyDescent="0.4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4">
      <c r="B29" s="67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8" x14ac:dyDescent="0.35">
      <c r="B30" s="68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8" x14ac:dyDescent="0.35">
      <c r="B31" s="69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6" thickBot="1" x14ac:dyDescent="0.45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3">
      <c r="K33" s="57">
        <v>42765</v>
      </c>
      <c r="L33" s="32"/>
      <c r="M33" s="32"/>
      <c r="N33" s="33"/>
    </row>
    <row r="34" spans="11:14" x14ac:dyDescent="0.3">
      <c r="K34" s="31"/>
      <c r="L34" s="32"/>
      <c r="M34" s="32"/>
      <c r="N34" s="33"/>
    </row>
    <row r="35" spans="11:14" x14ac:dyDescent="0.3">
      <c r="K35" s="31"/>
      <c r="L35" s="32"/>
      <c r="M35" s="32"/>
      <c r="N35" s="33"/>
    </row>
    <row r="36" spans="11:14" ht="21.6" thickBot="1" x14ac:dyDescent="0.45">
      <c r="K36" s="38" t="s">
        <v>36</v>
      </c>
      <c r="L36" s="32"/>
      <c r="M36" s="32"/>
      <c r="N36" s="33"/>
    </row>
    <row r="37" spans="11:14" ht="16.2" thickBot="1" x14ac:dyDescent="0.35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3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3">
      <c r="K39" s="40"/>
      <c r="L39" s="39"/>
      <c r="M39" s="43"/>
      <c r="N39" s="41"/>
    </row>
    <row r="40" spans="11:14" x14ac:dyDescent="0.3">
      <c r="K40" s="40"/>
      <c r="L40" s="39"/>
      <c r="M40" s="43"/>
      <c r="N40" s="41"/>
    </row>
    <row r="41" spans="11:14" x14ac:dyDescent="0.3">
      <c r="K41" s="31"/>
      <c r="L41" s="32"/>
      <c r="M41" s="44"/>
      <c r="N41" s="33"/>
    </row>
    <row r="42" spans="11:14" ht="21" x14ac:dyDescent="0.4">
      <c r="K42" s="38" t="s">
        <v>41</v>
      </c>
      <c r="L42" s="32"/>
      <c r="M42" s="44"/>
      <c r="N42" s="33"/>
    </row>
    <row r="43" spans="11:14" x14ac:dyDescent="0.3">
      <c r="K43" s="31" t="s">
        <v>42</v>
      </c>
      <c r="L43" s="44">
        <f>M38*N38</f>
        <v>360</v>
      </c>
      <c r="M43" s="32"/>
      <c r="N43" s="33"/>
    </row>
    <row r="44" spans="11:14" x14ac:dyDescent="0.3">
      <c r="K44" s="31" t="s">
        <v>43</v>
      </c>
      <c r="L44" s="44">
        <f>L43*0.07</f>
        <v>25.200000000000003</v>
      </c>
      <c r="M44" s="32"/>
      <c r="N44" s="33"/>
    </row>
    <row r="45" spans="11:14" x14ac:dyDescent="0.3">
      <c r="K45" s="31" t="s">
        <v>44</v>
      </c>
      <c r="L45" s="61">
        <f>_xlfn.XLOOKUP(_xlfn.XLOOKUP(K30,E6:E13,C6:C13  ),C29:I29,C32:I32,,-1)</f>
        <v>0.3</v>
      </c>
      <c r="M45" s="32"/>
      <c r="N45" s="33"/>
    </row>
    <row r="46" spans="11:14" x14ac:dyDescent="0.3">
      <c r="K46" s="56" t="s">
        <v>41</v>
      </c>
      <c r="L46" s="55">
        <f>L43-(L43*L45)+L44</f>
        <v>277.2</v>
      </c>
      <c r="M46" s="32"/>
      <c r="N46" s="33"/>
    </row>
    <row r="47" spans="11:14" ht="16.2" thickBot="1" x14ac:dyDescent="0.35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tabSelected="1" topLeftCell="B1" zoomScale="63" workbookViewId="0">
      <selection activeCell="P22" sqref="P22"/>
    </sheetView>
  </sheetViews>
  <sheetFormatPr defaultColWidth="10.69921875" defaultRowHeight="15.6" x14ac:dyDescent="0.3"/>
  <cols>
    <col min="1" max="1" width="4.5" customWidth="1"/>
    <col min="2" max="2" width="5.5" customWidth="1"/>
    <col min="3" max="3" width="12.69921875" bestFit="1" customWidth="1"/>
    <col min="4" max="4" width="12.69921875" customWidth="1"/>
    <col min="5" max="5" width="10.19921875" customWidth="1"/>
    <col min="6" max="6" width="10.69921875" bestFit="1" customWidth="1"/>
    <col min="9" max="9" width="19.296875" bestFit="1" customWidth="1"/>
    <col min="10" max="10" width="11.796875" bestFit="1" customWidth="1"/>
    <col min="11" max="11" width="11.5" customWidth="1"/>
    <col min="12" max="12" width="19.69921875" customWidth="1"/>
  </cols>
  <sheetData>
    <row r="1" spans="1:14" ht="28.8" x14ac:dyDescent="0.55000000000000004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3" spans="1:14" ht="21" x14ac:dyDescent="0.4">
      <c r="B3" s="64" t="s">
        <v>31</v>
      </c>
      <c r="C3" s="64"/>
      <c r="D3" s="64"/>
      <c r="E3" s="64"/>
      <c r="F3" s="64"/>
      <c r="G3" s="64"/>
      <c r="I3" s="64" t="s">
        <v>45</v>
      </c>
      <c r="J3" s="64"/>
      <c r="K3" s="64"/>
      <c r="L3" s="64"/>
    </row>
    <row r="4" spans="1:14" ht="16.2" thickBot="1" x14ac:dyDescent="0.35"/>
    <row r="5" spans="1:14" ht="21" x14ac:dyDescent="0.4">
      <c r="B5" s="65" t="s">
        <v>0</v>
      </c>
      <c r="C5" s="65"/>
      <c r="D5" s="65"/>
      <c r="E5" s="65"/>
      <c r="F5" s="65"/>
      <c r="G5" s="65"/>
      <c r="H5" s="4"/>
      <c r="I5" s="28" t="s">
        <v>32</v>
      </c>
      <c r="J5" s="29"/>
      <c r="K5" s="29"/>
      <c r="L5" s="30" t="s">
        <v>33</v>
      </c>
    </row>
    <row r="6" spans="1:14" ht="18" x14ac:dyDescent="0.35">
      <c r="B6" s="63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4" ht="18" x14ac:dyDescent="0.35">
      <c r="B7" s="63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4" ht="21" x14ac:dyDescent="0.4">
      <c r="B8" s="63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4" ht="18" x14ac:dyDescent="0.35">
      <c r="B9" s="63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4" ht="18" x14ac:dyDescent="0.35">
      <c r="B10" s="63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4" ht="18" x14ac:dyDescent="0.35">
      <c r="B11" s="63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4" ht="21.6" thickBot="1" x14ac:dyDescent="0.45">
      <c r="B12" s="63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4" ht="18.600000000000001" thickBot="1" x14ac:dyDescent="0.4">
      <c r="B13" s="63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  <c r="N13" s="71" t="e">
        <f>INDEX( C6:G16,MATCH(J14,C6:C16,0),MATCH(I6,C6:G6))</f>
        <v>#N/A</v>
      </c>
    </row>
    <row r="14" spans="1:14" ht="18" x14ac:dyDescent="0.35">
      <c r="B14" s="63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>
        <f>INDEX(C6:G16, MATCH(J14, C6:C16,0), MATCH(I14, C6:G6) )</f>
        <v>18</v>
      </c>
      <c r="L14" s="58">
        <v>20</v>
      </c>
    </row>
    <row r="15" spans="1:14" ht="18" x14ac:dyDescent="0.35">
      <c r="B15" s="63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>
        <f>_xlfn.XLOOKUP(J15, C6:C16,E6:E16)</f>
        <v>18</v>
      </c>
      <c r="L15" s="41"/>
    </row>
    <row r="16" spans="1:14" ht="18" x14ac:dyDescent="0.35">
      <c r="B16" s="63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>
        <f>INDEX(C6:G16,MATCH(J16,C6:C16,),MATCH(I16,C6:G6,0 ))</f>
        <v>28</v>
      </c>
      <c r="L16" s="41"/>
    </row>
    <row r="17" spans="4:14" x14ac:dyDescent="0.3">
      <c r="I17" s="31"/>
      <c r="J17" s="32"/>
      <c r="K17" s="44"/>
      <c r="L17" s="33"/>
      <c r="N17" s="72">
        <f>INDEX(C6:G16,MATCH(J14,C6:C16,0),MATCH(I14,C6:G6,0))</f>
        <v>18</v>
      </c>
    </row>
    <row r="18" spans="4:14" ht="21" x14ac:dyDescent="0.4">
      <c r="I18" s="38" t="s">
        <v>41</v>
      </c>
      <c r="J18" s="32"/>
      <c r="K18" s="44"/>
      <c r="L18" s="33"/>
    </row>
    <row r="19" spans="4:14" x14ac:dyDescent="0.3">
      <c r="I19" s="31" t="s">
        <v>42</v>
      </c>
      <c r="J19" s="44">
        <f>K14*L14</f>
        <v>360</v>
      </c>
      <c r="K19" s="32"/>
      <c r="L19" s="33"/>
    </row>
    <row r="20" spans="4:14" x14ac:dyDescent="0.3">
      <c r="I20" s="31" t="s">
        <v>43</v>
      </c>
      <c r="J20" s="44">
        <f>J19*0.07</f>
        <v>25.200000000000003</v>
      </c>
      <c r="K20" s="32"/>
      <c r="L20" s="33"/>
    </row>
    <row r="21" spans="4:14" x14ac:dyDescent="0.3">
      <c r="I21" s="31" t="s">
        <v>44</v>
      </c>
      <c r="J21" s="54">
        <v>0.3</v>
      </c>
      <c r="K21" s="32"/>
      <c r="L21" s="33"/>
    </row>
    <row r="22" spans="4:14" x14ac:dyDescent="0.3">
      <c r="I22" s="56" t="s">
        <v>41</v>
      </c>
      <c r="J22" s="55">
        <f>J19-(J19*J21)+J20</f>
        <v>277.2</v>
      </c>
      <c r="K22" s="32"/>
      <c r="L22" s="33"/>
    </row>
    <row r="23" spans="4:14" ht="16.2" thickBot="1" x14ac:dyDescent="0.35">
      <c r="I23" s="34"/>
      <c r="J23" s="35"/>
      <c r="K23" s="35"/>
      <c r="L23" s="36"/>
    </row>
    <row r="26" spans="4:14" x14ac:dyDescent="0.3">
      <c r="D26" s="40" t="s">
        <v>12</v>
      </c>
      <c r="E26" s="39" t="s">
        <v>9</v>
      </c>
      <c r="F26" s="62" cm="1">
        <f t="array" ref="F26" xml:space="preserve"> _xlfn.XLOOKUP(J15, C6:C16,_xlfn.XLOOKUP(I15, C6:G6, C6:G16))</f>
        <v>18</v>
      </c>
      <c r="G26" s="41"/>
      <c r="H26" t="s">
        <v>49</v>
      </c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shahed ferwana</cp:lastModifiedBy>
  <dcterms:created xsi:type="dcterms:W3CDTF">2016-12-21T20:53:08Z</dcterms:created>
  <dcterms:modified xsi:type="dcterms:W3CDTF">2026-03-07T21:47:27Z</dcterms:modified>
  <cp:category/>
</cp:coreProperties>
</file>